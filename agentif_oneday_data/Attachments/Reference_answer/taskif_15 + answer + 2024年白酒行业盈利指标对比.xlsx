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37" windowHeight="8097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<sst xmlns="http://schemas.openxmlformats.org/spreadsheetml/2006/main" count="5" uniqueCount="5">
  <si>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贵州茅台</t>
  </si>
  <si>
    <t>五粮液</t>
  </si>
  <si>
    <t>营业利润</t>
  </si>
  <si>
    <t>营业收入</t>
  </si>
  <si>
    <t>营业利润率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</si>
</sst>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76" fontId="0" fillId="0" borderId="3" xfId="0" applyNumberFormat="1" applyBorder="1">
      <alignment vertical="center"/>
    </xf>
    <xf numFmtId="0" fontId="0" fillId="0" borderId="4" xfId="0" applyBorder="1">
      <alignment vertical="center"/>
    </xf>
    <xf numFmtId="4" fontId="0" fillId="0" borderId="5" xfId="0" applyNumberFormat="1" applyBorder="1">
      <alignment vertical="center"/>
    </xf>
    <xf numFmtId="176" fontId="0" fillId="0" borderId="6" xfId="0" applyNumberFormat="1" applyBorder="1">
      <alignment vertical="center"/>
    </xf>
    <xf numFmtId="0" fontId="0" fillId="0" borderId="7" xfId="0" applyBorder="1">
      <alignment vertical="center"/>
    </xf>
    <xf numFmtId="10" fontId="0" fillId="0" borderId="8" xfId="0" applyNumberFormat="1" applyBorder="1">
      <alignment vertical="center"/>
    </xf>
    <xf numFmtId="10" fontId="0" fillId="0" borderId="9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白酒行业</a:t>
            </a:r>
            <a:r>
              <a:rPr lang="en-US" altLang="zh-CN"/>
              <a:t>2024</a:t>
            </a:r>
            <a:r>
              <a:rPr altLang="en-US"/>
              <a:t>年盈利指标对比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营业利润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Sheet1!$C$2:$D$2</c:f>
              <c:strCache>
                <c:ptCount val="2"/>
                <c:pt idx="0">
                  <c:v>贵州茅台</c:v>
                </c:pt>
                <c:pt idx="1" c:formatCode="#,##0.00_ ">
                  <c:v>五粮液</c:v>
                </c:pt>
              </c:strCache>
            </c:strRef>
          </c:cat>
          <c:val>
            <c:numRef>
              <c:f>Sheet1!$C$3:$D$3</c:f>
              <c:numCache>
                <c:formatCode>#,##0.00</c:formatCode>
                <c:ptCount val="2"/>
                <c:pt idx="0">
                  <c:v>119688579453.23</c:v>
                </c:pt>
                <c:pt idx="1" c:formatCode="#,##0.00_ ">
                  <c:v>44200075710.37</c:v>
                </c:pt>
              </c:numCache>
            </c:numRef>
          </c:val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营业收入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Sheet1!$C$2:$D$2</c:f>
              <c:strCache>
                <c:ptCount val="2"/>
                <c:pt idx="0">
                  <c:v>贵州茅台</c:v>
                </c:pt>
                <c:pt idx="1" c:formatCode="#,##0.00_ ">
                  <c:v>五粮液</c:v>
                </c:pt>
              </c:strCache>
            </c:strRef>
          </c:cat>
          <c:val>
            <c:numRef>
              <c:f>Sheet1!$C$4:$D$4</c:f>
              <c:numCache>
                <c:formatCode>#,##0.00</c:formatCode>
                <c:ptCount val="2"/>
                <c:pt idx="0">
                  <c:v>170899152276.34</c:v>
                </c:pt>
                <c:pt idx="1" c:formatCode="#,##0.00_ ">
                  <c:v>89175178322.7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90233846"/>
        <c:axId val="511379571"/>
      </c:barChart>
      <c:lineChart>
        <c:grouping val="standard"/>
        <c:varyColors val="0"/>
        <c:ser>
          <c:idx val="2"/>
          <c:order val="2"/>
          <c:tx>
            <c:strRef>
              <c:f>Sheet1!$B$5</c:f>
              <c:strCache>
                <c:ptCount val="1"/>
                <c:pt idx="0">
                  <c:v>营业利润率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Sheet1!$C$2:$D$2</c:f>
              <c:strCache>
                <c:ptCount val="2"/>
                <c:pt idx="0">
                  <c:v>贵州茅台</c:v>
                </c:pt>
                <c:pt idx="1" c:formatCode="#,##0.00_ ">
                  <c:v>五粮液</c:v>
                </c:pt>
              </c:strCache>
            </c:strRef>
          </c:cat>
          <c:val>
            <c:numRef>
              <c:f>Sheet1!$C$5:$D$5</c:f>
              <c:numCache>
                <c:formatCode>0.00%</c:formatCode>
                <c:ptCount val="2"/>
                <c:pt idx="0">
                  <c:v>0.700346244314286</c:v>
                </c:pt>
                <c:pt idx="1">
                  <c:v>0.495654469570246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95258567"/>
        <c:axId val="692824528"/>
      </c:lineChart>
      <c:catAx>
        <c:axId val="19023384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379571"/>
        <c:crosses val="autoZero"/>
        <c:auto val="1"/>
        <c:lblAlgn val="ctr"/>
        <c:lblOffset val="100"/>
        <c:noMultiLvlLbl val="0"/>
      </c:catAx>
      <c:valAx>
        <c:axId val="5113795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233846"/>
        <c:crosses val="autoZero"/>
        <c:crossBetween val="between"/>
      </c:valAx>
      <c:catAx>
        <c:axId val="495258567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2824528"/>
        <c:crosses val="autoZero"/>
        <c:auto val="1"/>
        <c:lblAlgn val="ctr"/>
        <c:lblOffset val="100"/>
        <c:noMultiLvlLbl val="0"/>
      </c:catAx>
      <c:valAx>
        <c:axId val="69282452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258567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108585</xdr:colOff>
      <xdr:row>7</xdr:row>
      <xdr:rowOff>161925</xdr:rowOff>
    </xdr:from>
    <xdr:to>
      <xdr:col>5</xdr:col>
      <xdr:colOff>548640</xdr:colOff>
      <xdr:row>22</xdr:row>
      <xdr:rowOff>161925</xdr:rowOff>
    </xdr:to>
    <xdr:graphicFrame>
      <xdr:nvGraphicFramePr>
        <xdr:cNvPr id="2" name="图表 1"/>
        <xdr:cNvGraphicFramePr/>
      </xdr:nvGraphicFramePr>
      <xdr:xfrm>
        <a:off x="742950" y="1442085"/>
        <a:ext cx="483679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5"/>
  <sheetViews>
    <sheetView tabSelected="1" workbookViewId="0">
      <selection activeCell="H10" sqref="H10"/>
    </sheetView>
  </sheetViews>
  <sheetFormatPr defaultColWidth="9" defaultRowHeight="14.4" outlineLevelRow="4" outlineLevelCol="3"/>
  <cols>
    <col min="2" max="2" width="11.7927927927928" customWidth="1"/>
    <col min="3" max="3" width="20.7927927927928"/>
    <col min="4" max="4" width="20.7927927927928" style="1"/>
  </cols>
  <sheetData>
    <row r="2" spans="2:4">
      <c r="B2" s="2"/>
      <c r="C2" s="3" t="s">
        <v>0</v>
      </c>
      <c r="D2" s="4" t="s">
        <v>1</v>
      </c>
    </row>
    <row r="3" spans="2:4">
      <c r="B3" s="5" t="s">
        <v>2</v>
      </c>
      <c r="C3" s="6">
        <v>119688579453.23</v>
      </c>
      <c r="D3" s="7">
        <v>44200075710.37</v>
      </c>
    </row>
    <row r="4" spans="2:4">
      <c r="B4" s="5" t="s">
        <v>3</v>
      </c>
      <c r="C4" s="6">
        <v>170899152276.34</v>
      </c>
      <c r="D4" s="7">
        <v>89175178322.7</v>
      </c>
    </row>
    <row r="5" spans="2:4">
      <c r="B5" s="8" t="s">
        <v>4</v>
      </c>
      <c r="C5" s="9">
        <f>(C3/C4)</f>
        <v>0.700346244314286</v>
      </c>
      <c r="D5" s="10">
        <f>D3/D4</f>
        <v>0.495654469570246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4" sqref="H14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郭君琪</dc:creator>
  <cp:lastModifiedBy>赵小鲁</cp:lastModifiedBy>
  <dcterms:created xsi:type="dcterms:W3CDTF">2023-05-12T11:15:00Z</dcterms:created>
  <dcterms:modified xsi:type="dcterms:W3CDTF">2025-07-29T09:24:56Z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4FF1C2E2DAB34B7F881DB34349E1D4BF_13</vt:lpwstr>
  </property>
</Properties>
</file>